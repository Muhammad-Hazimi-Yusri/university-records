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/>
  <mc:AlternateContent xmlns:mc="http://schemas.openxmlformats.org/markup-compatibility/2006">
    <mc:Choice Requires="x15">
      <x15ac:absPath xmlns:x15ac="http://schemas.microsoft.com/office/spreadsheetml/2010/11/ac" url="\\fsusmc.soton.ac.uk\users\sl2a13\mydocuments\USMC\USMC - Teaching\D5 Project\Module Material\Data Profiles\"/>
    </mc:Choice>
  </mc:AlternateContent>
  <xr:revisionPtr revIDLastSave="0" documentId="11_C37791A0BF6C535717777586FF23E9C7E77671E4" xr6:coauthVersionLast="47" xr6:coauthVersionMax="47" xr10:uidLastSave="{00000000-0000-0000-0000-000000000000}"/>
  <bookViews>
    <workbookView xWindow="0" yWindow="0" windowWidth="20490" windowHeight="7755" firstSheet="1" activeTab="1" xr2:uid="{00000000-000D-0000-FFFF-FFFF00000000}"/>
  </bookViews>
  <sheets>
    <sheet name="Profile 1" sheetId="1" r:id="rId1"/>
    <sheet name="Profile 2" sheetId="2" r:id="rId2"/>
    <sheet name="Profile 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1" i="3" l="1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N12" i="3" s="1"/>
  <c r="M7" i="3"/>
  <c r="L7" i="3"/>
  <c r="K7" i="3"/>
  <c r="J7" i="3"/>
  <c r="I7" i="3"/>
  <c r="H7" i="3"/>
  <c r="G7" i="3"/>
  <c r="F7" i="3"/>
  <c r="E7" i="3"/>
  <c r="D7" i="3"/>
  <c r="X38" i="2"/>
  <c r="T38" i="2"/>
  <c r="P38" i="2"/>
  <c r="L38" i="2"/>
  <c r="H38" i="2"/>
  <c r="D38" i="2"/>
  <c r="AA37" i="2"/>
  <c r="AA38" i="2" s="1"/>
  <c r="Z37" i="2"/>
  <c r="Z38" i="2" s="1"/>
  <c r="Y37" i="2"/>
  <c r="Y38" i="2" s="1"/>
  <c r="X37" i="2"/>
  <c r="W37" i="2"/>
  <c r="V37" i="2"/>
  <c r="V38" i="2" s="1"/>
  <c r="U37" i="2"/>
  <c r="U38" i="2" s="1"/>
  <c r="T37" i="2"/>
  <c r="S37" i="2"/>
  <c r="S38" i="2" s="1"/>
  <c r="R37" i="2"/>
  <c r="R38" i="2" s="1"/>
  <c r="Q37" i="2"/>
  <c r="Q38" i="2" s="1"/>
  <c r="P37" i="2"/>
  <c r="O37" i="2"/>
  <c r="N37" i="2"/>
  <c r="N38" i="2" s="1"/>
  <c r="M37" i="2"/>
  <c r="M38" i="2" s="1"/>
  <c r="L37" i="2"/>
  <c r="K37" i="2"/>
  <c r="K38" i="2" s="1"/>
  <c r="J37" i="2"/>
  <c r="J38" i="2" s="1"/>
  <c r="I37" i="2"/>
  <c r="I38" i="2" s="1"/>
  <c r="H37" i="2"/>
  <c r="G37" i="2"/>
  <c r="F37" i="2"/>
  <c r="F38" i="2" s="1"/>
  <c r="E37" i="2"/>
  <c r="E38" i="2" s="1"/>
  <c r="D37" i="2"/>
  <c r="AA33" i="2"/>
  <c r="Z33" i="2"/>
  <c r="Y33" i="2"/>
  <c r="X33" i="2"/>
  <c r="W33" i="2"/>
  <c r="W38" i="2" s="1"/>
  <c r="V33" i="2"/>
  <c r="U33" i="2"/>
  <c r="T33" i="2"/>
  <c r="S33" i="2"/>
  <c r="R33" i="2"/>
  <c r="Q33" i="2"/>
  <c r="P33" i="2"/>
  <c r="O33" i="2"/>
  <c r="O38" i="2" s="1"/>
  <c r="N33" i="2"/>
  <c r="M33" i="2"/>
  <c r="L33" i="2"/>
  <c r="K33" i="2"/>
  <c r="J33" i="2"/>
  <c r="I33" i="2"/>
  <c r="H33" i="2"/>
  <c r="G33" i="2"/>
  <c r="G38" i="2" s="1"/>
  <c r="F33" i="2"/>
  <c r="E33" i="2"/>
  <c r="D33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AA7" i="2"/>
  <c r="Z7" i="2"/>
  <c r="Y7" i="2"/>
  <c r="X7" i="2"/>
  <c r="X12" i="2" s="1"/>
  <c r="W7" i="2"/>
  <c r="W12" i="2" s="1"/>
  <c r="V7" i="2"/>
  <c r="U7" i="2"/>
  <c r="T7" i="2"/>
  <c r="S7" i="2"/>
  <c r="R7" i="2"/>
  <c r="Q7" i="2"/>
  <c r="P7" i="2"/>
  <c r="P12" i="2" s="1"/>
  <c r="O7" i="2"/>
  <c r="O12" i="2" s="1"/>
  <c r="N7" i="2"/>
  <c r="M7" i="2"/>
  <c r="L7" i="2"/>
  <c r="K7" i="2"/>
  <c r="K12" i="2" s="1"/>
  <c r="J7" i="2"/>
  <c r="I7" i="2"/>
  <c r="H7" i="2"/>
  <c r="H12" i="2" s="1"/>
  <c r="G7" i="2"/>
  <c r="G12" i="2" s="1"/>
  <c r="F7" i="2"/>
  <c r="E7" i="2"/>
  <c r="D7" i="2"/>
  <c r="E12" i="1"/>
  <c r="F12" i="1"/>
  <c r="M12" i="1"/>
  <c r="N12" i="1"/>
  <c r="U12" i="1"/>
  <c r="V12" i="1"/>
  <c r="D12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D7" i="1"/>
  <c r="E11" i="1"/>
  <c r="F11" i="1"/>
  <c r="G11" i="1"/>
  <c r="G12" i="1" s="1"/>
  <c r="H11" i="1"/>
  <c r="H12" i="1" s="1"/>
  <c r="I11" i="1"/>
  <c r="I12" i="1" s="1"/>
  <c r="J11" i="1"/>
  <c r="J12" i="1" s="1"/>
  <c r="K11" i="1"/>
  <c r="K12" i="1" s="1"/>
  <c r="L11" i="1"/>
  <c r="L12" i="1" s="1"/>
  <c r="M11" i="1"/>
  <c r="N11" i="1"/>
  <c r="O11" i="1"/>
  <c r="O12" i="1" s="1"/>
  <c r="P11" i="1"/>
  <c r="P12" i="1" s="1"/>
  <c r="Q11" i="1"/>
  <c r="Q12" i="1" s="1"/>
  <c r="R11" i="1"/>
  <c r="R12" i="1" s="1"/>
  <c r="S11" i="1"/>
  <c r="S12" i="1" s="1"/>
  <c r="T11" i="1"/>
  <c r="T12" i="1" s="1"/>
  <c r="U11" i="1"/>
  <c r="V11" i="1"/>
  <c r="W11" i="1"/>
  <c r="W12" i="1" s="1"/>
  <c r="X11" i="1"/>
  <c r="X12" i="1" s="1"/>
  <c r="Y11" i="1"/>
  <c r="Y12" i="1" s="1"/>
  <c r="Z11" i="1"/>
  <c r="Z12" i="1" s="1"/>
  <c r="AA11" i="1"/>
  <c r="AA12" i="1" s="1"/>
  <c r="D11" i="1"/>
  <c r="V12" i="3" l="1"/>
  <c r="L12" i="3"/>
  <c r="D12" i="3"/>
  <c r="T12" i="3"/>
  <c r="F12" i="3"/>
  <c r="P12" i="3"/>
  <c r="H12" i="3"/>
  <c r="R12" i="3"/>
  <c r="X12" i="3"/>
  <c r="J12" i="3"/>
  <c r="Z12" i="3"/>
  <c r="G12" i="3"/>
  <c r="O12" i="3"/>
  <c r="W12" i="3"/>
  <c r="I12" i="3"/>
  <c r="Q12" i="3"/>
  <c r="Y12" i="3"/>
  <c r="K12" i="3"/>
  <c r="S12" i="3"/>
  <c r="AA12" i="3"/>
  <c r="E12" i="3"/>
  <c r="M12" i="3"/>
  <c r="U12" i="3"/>
  <c r="J12" i="2"/>
  <c r="Z12" i="2"/>
  <c r="R12" i="2"/>
  <c r="S12" i="2"/>
  <c r="L12" i="2"/>
  <c r="E12" i="2"/>
  <c r="M12" i="2"/>
  <c r="I12" i="2"/>
  <c r="Q12" i="2"/>
  <c r="Y12" i="2"/>
  <c r="D12" i="2"/>
  <c r="F12" i="2"/>
  <c r="N12" i="2"/>
  <c r="V12" i="2"/>
  <c r="AA12" i="2"/>
  <c r="T12" i="2"/>
  <c r="U12" i="2"/>
</calcChain>
</file>

<file path=xl/sharedStrings.xml><?xml version="1.0" encoding="utf-8"?>
<sst xmlns="http://schemas.openxmlformats.org/spreadsheetml/2006/main" count="107" uniqueCount="39">
  <si>
    <t>Profile 1 : This profile is designed to allow the groups to experiment with load and battery switching as well as power and energy calculation</t>
  </si>
  <si>
    <t>Time (minute)</t>
  </si>
  <si>
    <t>RE generation</t>
  </si>
  <si>
    <t>Wind turbine capacity (Max 1A)</t>
  </si>
  <si>
    <t xml:space="preserve">Photovoltaic capacity (Max 2A) </t>
  </si>
  <si>
    <t>S</t>
  </si>
  <si>
    <t>Total RE capacity (Max 3A)</t>
  </si>
  <si>
    <t>Load demand</t>
  </si>
  <si>
    <t>Load 1 (0.8A)</t>
  </si>
  <si>
    <t>T</t>
  </si>
  <si>
    <t>Load 2 (1.8A)</t>
  </si>
  <si>
    <t>Load 3 (1.4A)</t>
  </si>
  <si>
    <t>O</t>
  </si>
  <si>
    <t>Total load demand (Max 4A)</t>
  </si>
  <si>
    <t xml:space="preserve">Extra capacity required </t>
  </si>
  <si>
    <t>P</t>
  </si>
  <si>
    <t>Smart meter operation</t>
  </si>
  <si>
    <t>Mains capacity (Max 4A)*</t>
  </si>
  <si>
    <t>Battery charging (1A)</t>
  </si>
  <si>
    <t>Battery discharging (1A)</t>
  </si>
  <si>
    <t>Note:</t>
  </si>
  <si>
    <t>1. * Mains capacity is fixed at 4A rms by connecting a constant 10V across analogue input terminals</t>
  </si>
  <si>
    <t>2. Battery is initially empty. Both charging and discharging current are fixed at 1A rms</t>
  </si>
  <si>
    <t>Tasks:</t>
  </si>
  <si>
    <t>1. Response to "call for demand" digital output by sending digital (logic) signals to control the load 1, 2, and 3</t>
  </si>
  <si>
    <t>2. Calculate average power and total energy consumption based on bus voltage and bus current (analogue output)</t>
  </si>
  <si>
    <t>3. Control battery charging and discharging</t>
  </si>
  <si>
    <t>4. Calculate the energy level of battery</t>
  </si>
  <si>
    <t>Profile 2 : This profile maintains the same load profile as before but introduces the non-dispatch generation</t>
  </si>
  <si>
    <t>1. Measure available wind turbine capacity and PV capacity then calculate total renewable power capacity</t>
  </si>
  <si>
    <t>2. Response to "call for demand" digital output by sending digital (logic) signals to control the load 1, 2, and 3</t>
  </si>
  <si>
    <t>3. Calculate average power and total energy consumption based on bus voltage and bus current (analogue output)</t>
  </si>
  <si>
    <t>4. Control battery charging and discharging</t>
  </si>
  <si>
    <t>5. Calculate the energy level of battery</t>
  </si>
  <si>
    <t>6. Control the mains capacity by producing analogue voltage through DAC</t>
  </si>
  <si>
    <t>Expected smart meter operation for task 6.</t>
  </si>
  <si>
    <t>Mains capacity (Max 4A)</t>
  </si>
  <si>
    <t>Profile 3 : This profile varies both generation and load profiles</t>
  </si>
  <si>
    <t>1. Battery is initially empty. Both charging and discharging current are fixed at 1A 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</si>
</sst>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B25"/>
  <sheetViews>
    <sheetView workbookViewId="0">
      <selection activeCell="AG20" sqref="AG20"/>
    </sheetView>
  </sheetViews>
  <sheetFormatPr defaultRowHeight="15"/>
  <cols>
    <col min="2" max="2" width="21.85546875" bestFit="1" customWidth="1"/>
    <col min="3" max="3" width="29.85546875" bestFit="1" customWidth="1"/>
    <col min="4" max="5" width="2" bestFit="1" customWidth="1"/>
    <col min="6" max="7" width="4" bestFit="1" customWidth="1"/>
    <col min="8" max="9" width="2" bestFit="1" customWidth="1"/>
    <col min="10" max="19" width="4" bestFit="1" customWidth="1"/>
    <col min="20" max="21" width="3" bestFit="1" customWidth="1"/>
    <col min="22" max="28" width="4" bestFit="1" customWidth="1"/>
  </cols>
  <sheetData>
    <row r="2" spans="2:28">
      <c r="B2" s="12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4" spans="2:28">
      <c r="B4" s="14" t="s">
        <v>1</v>
      </c>
      <c r="C4" s="14"/>
      <c r="D4" s="7">
        <v>0</v>
      </c>
      <c r="E4" s="7">
        <v>1</v>
      </c>
      <c r="F4" s="7">
        <v>2</v>
      </c>
      <c r="G4" s="7">
        <v>3</v>
      </c>
      <c r="H4" s="7">
        <v>4</v>
      </c>
      <c r="I4" s="7">
        <v>5</v>
      </c>
      <c r="J4" s="7">
        <v>6</v>
      </c>
      <c r="K4" s="7">
        <v>7</v>
      </c>
      <c r="L4" s="7">
        <v>8</v>
      </c>
      <c r="M4" s="7">
        <v>9</v>
      </c>
      <c r="N4" s="7">
        <v>10</v>
      </c>
      <c r="O4" s="7">
        <v>11</v>
      </c>
      <c r="P4" s="7">
        <v>12</v>
      </c>
      <c r="Q4" s="7">
        <v>13</v>
      </c>
      <c r="R4" s="7">
        <v>14</v>
      </c>
      <c r="S4" s="7">
        <v>15</v>
      </c>
      <c r="T4" s="7">
        <v>16</v>
      </c>
      <c r="U4" s="7">
        <v>17</v>
      </c>
      <c r="V4" s="7">
        <v>18</v>
      </c>
      <c r="W4" s="7">
        <v>19</v>
      </c>
      <c r="X4" s="7">
        <v>20</v>
      </c>
      <c r="Y4" s="7">
        <v>21</v>
      </c>
      <c r="Z4" s="7">
        <v>22</v>
      </c>
      <c r="AA4" s="7">
        <v>23</v>
      </c>
      <c r="AB4" s="7">
        <v>24</v>
      </c>
    </row>
    <row r="5" spans="2:28">
      <c r="B5" s="13" t="s">
        <v>2</v>
      </c>
      <c r="C5" s="1" t="s">
        <v>3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7"/>
    </row>
    <row r="6" spans="2:28">
      <c r="B6" s="13"/>
      <c r="C6" s="1" t="s">
        <v>4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7" t="s">
        <v>5</v>
      </c>
    </row>
    <row r="7" spans="2:28">
      <c r="B7" s="13"/>
      <c r="C7" s="5" t="s">
        <v>6</v>
      </c>
      <c r="D7" s="6">
        <f>D5+D6</f>
        <v>0</v>
      </c>
      <c r="E7" s="6">
        <f t="shared" ref="E7:AB7" si="0">E5+E6</f>
        <v>0</v>
      </c>
      <c r="F7" s="6">
        <f t="shared" si="0"/>
        <v>0</v>
      </c>
      <c r="G7" s="6">
        <f t="shared" si="0"/>
        <v>0</v>
      </c>
      <c r="H7" s="6">
        <f t="shared" si="0"/>
        <v>0</v>
      </c>
      <c r="I7" s="6">
        <f t="shared" si="0"/>
        <v>0</v>
      </c>
      <c r="J7" s="6">
        <f t="shared" si="0"/>
        <v>0</v>
      </c>
      <c r="K7" s="6">
        <f t="shared" si="0"/>
        <v>0</v>
      </c>
      <c r="L7" s="6">
        <f t="shared" si="0"/>
        <v>0</v>
      </c>
      <c r="M7" s="6">
        <f t="shared" si="0"/>
        <v>0</v>
      </c>
      <c r="N7" s="6">
        <f t="shared" si="0"/>
        <v>0</v>
      </c>
      <c r="O7" s="6">
        <f t="shared" si="0"/>
        <v>0</v>
      </c>
      <c r="P7" s="6">
        <f t="shared" si="0"/>
        <v>0</v>
      </c>
      <c r="Q7" s="6">
        <f t="shared" si="0"/>
        <v>0</v>
      </c>
      <c r="R7" s="6">
        <f t="shared" si="0"/>
        <v>0</v>
      </c>
      <c r="S7" s="6">
        <f t="shared" si="0"/>
        <v>0</v>
      </c>
      <c r="T7" s="6">
        <f t="shared" si="0"/>
        <v>0</v>
      </c>
      <c r="U7" s="6">
        <f t="shared" si="0"/>
        <v>0</v>
      </c>
      <c r="V7" s="6">
        <f t="shared" si="0"/>
        <v>0</v>
      </c>
      <c r="W7" s="6">
        <f t="shared" si="0"/>
        <v>0</v>
      </c>
      <c r="X7" s="6">
        <f t="shared" si="0"/>
        <v>0</v>
      </c>
      <c r="Y7" s="6">
        <f t="shared" si="0"/>
        <v>0</v>
      </c>
      <c r="Z7" s="6">
        <f t="shared" si="0"/>
        <v>0</v>
      </c>
      <c r="AA7" s="6">
        <f t="shared" si="0"/>
        <v>0</v>
      </c>
      <c r="AB7" s="7"/>
    </row>
    <row r="8" spans="2:28">
      <c r="B8" s="15" t="s">
        <v>7</v>
      </c>
      <c r="C8" s="2" t="s">
        <v>8</v>
      </c>
      <c r="D8" s="9">
        <v>0</v>
      </c>
      <c r="E8" s="9">
        <v>0</v>
      </c>
      <c r="F8" s="9">
        <v>0.8</v>
      </c>
      <c r="G8" s="9">
        <v>0.8</v>
      </c>
      <c r="H8" s="9">
        <v>0</v>
      </c>
      <c r="I8" s="9">
        <v>0</v>
      </c>
      <c r="J8" s="9">
        <v>0.8</v>
      </c>
      <c r="K8" s="9">
        <v>0.8</v>
      </c>
      <c r="L8" s="9">
        <v>0.8</v>
      </c>
      <c r="M8" s="9">
        <v>0.8</v>
      </c>
      <c r="N8" s="9">
        <v>0.8</v>
      </c>
      <c r="O8" s="9">
        <v>0.8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0.8</v>
      </c>
      <c r="Y8" s="9">
        <v>0</v>
      </c>
      <c r="Z8" s="9">
        <v>0</v>
      </c>
      <c r="AA8" s="9">
        <v>0</v>
      </c>
      <c r="AB8" s="7" t="s">
        <v>9</v>
      </c>
    </row>
    <row r="9" spans="2:28">
      <c r="B9" s="15"/>
      <c r="C9" s="2" t="s">
        <v>10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1.8</v>
      </c>
      <c r="K9" s="9">
        <v>1.8</v>
      </c>
      <c r="L9" s="9">
        <v>1.8</v>
      </c>
      <c r="M9" s="9">
        <v>1.8</v>
      </c>
      <c r="N9" s="9">
        <v>0</v>
      </c>
      <c r="O9" s="9">
        <v>0</v>
      </c>
      <c r="P9" s="9">
        <v>0</v>
      </c>
      <c r="Q9" s="9">
        <v>0</v>
      </c>
      <c r="R9" s="9">
        <v>1.8</v>
      </c>
      <c r="S9" s="9">
        <v>1.8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1.8</v>
      </c>
      <c r="AA9" s="9">
        <v>1.8</v>
      </c>
      <c r="AB9" s="7"/>
    </row>
    <row r="10" spans="2:28">
      <c r="B10" s="15"/>
      <c r="C10" s="2" t="s">
        <v>11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1.4</v>
      </c>
      <c r="M10" s="9">
        <v>1.4</v>
      </c>
      <c r="N10" s="9">
        <v>1.4</v>
      </c>
      <c r="O10" s="9">
        <v>1.4</v>
      </c>
      <c r="P10" s="9">
        <v>1.4</v>
      </c>
      <c r="Q10" s="9">
        <v>1.4</v>
      </c>
      <c r="R10" s="9">
        <v>1.4</v>
      </c>
      <c r="S10" s="9">
        <v>1.4</v>
      </c>
      <c r="T10" s="9">
        <v>0</v>
      </c>
      <c r="U10" s="9">
        <v>0</v>
      </c>
      <c r="V10" s="9">
        <v>1.4</v>
      </c>
      <c r="W10" s="9">
        <v>1.4</v>
      </c>
      <c r="X10" s="9">
        <v>1.4</v>
      </c>
      <c r="Y10" s="9">
        <v>1.4</v>
      </c>
      <c r="Z10" s="9">
        <v>0</v>
      </c>
      <c r="AA10" s="9">
        <v>0</v>
      </c>
      <c r="AB10" s="7" t="s">
        <v>12</v>
      </c>
    </row>
    <row r="11" spans="2:28">
      <c r="B11" s="15"/>
      <c r="C11" s="5" t="s">
        <v>13</v>
      </c>
      <c r="D11" s="6">
        <f>D8+D9+D10</f>
        <v>0</v>
      </c>
      <c r="E11" s="6">
        <f t="shared" ref="E11:AB11" si="1">E8+E9+E10</f>
        <v>0</v>
      </c>
      <c r="F11" s="6">
        <f t="shared" si="1"/>
        <v>0.8</v>
      </c>
      <c r="G11" s="6">
        <f t="shared" si="1"/>
        <v>0.8</v>
      </c>
      <c r="H11" s="6">
        <f t="shared" si="1"/>
        <v>0</v>
      </c>
      <c r="I11" s="6">
        <f t="shared" si="1"/>
        <v>0</v>
      </c>
      <c r="J11" s="6">
        <f t="shared" si="1"/>
        <v>2.6</v>
      </c>
      <c r="K11" s="6">
        <f t="shared" si="1"/>
        <v>2.6</v>
      </c>
      <c r="L11" s="6">
        <f t="shared" si="1"/>
        <v>4</v>
      </c>
      <c r="M11" s="6">
        <f t="shared" si="1"/>
        <v>4</v>
      </c>
      <c r="N11" s="6">
        <f t="shared" si="1"/>
        <v>2.2000000000000002</v>
      </c>
      <c r="O11" s="6">
        <f t="shared" si="1"/>
        <v>2.2000000000000002</v>
      </c>
      <c r="P11" s="6">
        <f t="shared" si="1"/>
        <v>1.4</v>
      </c>
      <c r="Q11" s="6">
        <f t="shared" si="1"/>
        <v>1.4</v>
      </c>
      <c r="R11" s="6">
        <f t="shared" si="1"/>
        <v>3.2</v>
      </c>
      <c r="S11" s="6">
        <f t="shared" si="1"/>
        <v>3.2</v>
      </c>
      <c r="T11" s="6">
        <f t="shared" si="1"/>
        <v>0</v>
      </c>
      <c r="U11" s="6">
        <f t="shared" si="1"/>
        <v>0</v>
      </c>
      <c r="V11" s="6">
        <f t="shared" si="1"/>
        <v>1.4</v>
      </c>
      <c r="W11" s="6">
        <f t="shared" si="1"/>
        <v>1.4</v>
      </c>
      <c r="X11" s="6">
        <f t="shared" si="1"/>
        <v>2.2000000000000002</v>
      </c>
      <c r="Y11" s="6">
        <f t="shared" si="1"/>
        <v>1.4</v>
      </c>
      <c r="Z11" s="6">
        <f t="shared" si="1"/>
        <v>1.8</v>
      </c>
      <c r="AA11" s="6">
        <f t="shared" si="1"/>
        <v>1.8</v>
      </c>
      <c r="AB11" s="7"/>
    </row>
    <row r="12" spans="2:28">
      <c r="B12" s="17" t="s">
        <v>14</v>
      </c>
      <c r="C12" s="17"/>
      <c r="D12" s="6">
        <f>D11-D7</f>
        <v>0</v>
      </c>
      <c r="E12" s="6">
        <f t="shared" ref="E12:AB12" si="2">E11-E7</f>
        <v>0</v>
      </c>
      <c r="F12" s="6">
        <f t="shared" si="2"/>
        <v>0.8</v>
      </c>
      <c r="G12" s="6">
        <f t="shared" si="2"/>
        <v>0.8</v>
      </c>
      <c r="H12" s="6">
        <f t="shared" si="2"/>
        <v>0</v>
      </c>
      <c r="I12" s="6">
        <f t="shared" si="2"/>
        <v>0</v>
      </c>
      <c r="J12" s="6">
        <f t="shared" si="2"/>
        <v>2.6</v>
      </c>
      <c r="K12" s="6">
        <f t="shared" si="2"/>
        <v>2.6</v>
      </c>
      <c r="L12" s="6">
        <f t="shared" si="2"/>
        <v>4</v>
      </c>
      <c r="M12" s="6">
        <f t="shared" si="2"/>
        <v>4</v>
      </c>
      <c r="N12" s="6">
        <f t="shared" si="2"/>
        <v>2.2000000000000002</v>
      </c>
      <c r="O12" s="6">
        <f t="shared" si="2"/>
        <v>2.2000000000000002</v>
      </c>
      <c r="P12" s="6">
        <f t="shared" si="2"/>
        <v>1.4</v>
      </c>
      <c r="Q12" s="6">
        <f t="shared" si="2"/>
        <v>1.4</v>
      </c>
      <c r="R12" s="6">
        <f t="shared" si="2"/>
        <v>3.2</v>
      </c>
      <c r="S12" s="6">
        <f t="shared" si="2"/>
        <v>3.2</v>
      </c>
      <c r="T12" s="6">
        <f t="shared" si="2"/>
        <v>0</v>
      </c>
      <c r="U12" s="6">
        <f t="shared" si="2"/>
        <v>0</v>
      </c>
      <c r="V12" s="6">
        <f t="shared" si="2"/>
        <v>1.4</v>
      </c>
      <c r="W12" s="6">
        <f t="shared" si="2"/>
        <v>1.4</v>
      </c>
      <c r="X12" s="6">
        <f t="shared" si="2"/>
        <v>2.2000000000000002</v>
      </c>
      <c r="Y12" s="6">
        <f t="shared" si="2"/>
        <v>1.4</v>
      </c>
      <c r="Z12" s="6">
        <f t="shared" si="2"/>
        <v>1.8</v>
      </c>
      <c r="AA12" s="6">
        <f t="shared" si="2"/>
        <v>1.8</v>
      </c>
      <c r="AB12" s="7" t="s">
        <v>15</v>
      </c>
    </row>
    <row r="13" spans="2:28">
      <c r="B13" s="16" t="s">
        <v>16</v>
      </c>
      <c r="C13" s="3" t="s">
        <v>17</v>
      </c>
      <c r="D13" s="4">
        <v>4</v>
      </c>
      <c r="E13" s="4">
        <v>4</v>
      </c>
      <c r="F13" s="4">
        <v>4</v>
      </c>
      <c r="G13" s="4">
        <v>4</v>
      </c>
      <c r="H13" s="4">
        <v>4</v>
      </c>
      <c r="I13" s="4">
        <v>4</v>
      </c>
      <c r="J13" s="4">
        <v>4</v>
      </c>
      <c r="K13" s="4">
        <v>4</v>
      </c>
      <c r="L13" s="4">
        <v>4</v>
      </c>
      <c r="M13" s="4">
        <v>4</v>
      </c>
      <c r="N13" s="4">
        <v>4</v>
      </c>
      <c r="O13" s="4">
        <v>4</v>
      </c>
      <c r="P13" s="4">
        <v>4</v>
      </c>
      <c r="Q13" s="4">
        <v>4</v>
      </c>
      <c r="R13" s="4">
        <v>4</v>
      </c>
      <c r="S13" s="4">
        <v>4</v>
      </c>
      <c r="T13" s="4">
        <v>4</v>
      </c>
      <c r="U13" s="4">
        <v>4</v>
      </c>
      <c r="V13" s="4">
        <v>4</v>
      </c>
      <c r="W13" s="4">
        <v>4</v>
      </c>
      <c r="X13" s="4">
        <v>4</v>
      </c>
      <c r="Y13" s="4">
        <v>4</v>
      </c>
      <c r="Z13" s="4">
        <v>4</v>
      </c>
      <c r="AA13" s="4">
        <v>4</v>
      </c>
      <c r="AB13" s="7"/>
    </row>
    <row r="14" spans="2:28">
      <c r="B14" s="16"/>
      <c r="C14" s="3" t="s">
        <v>18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0</v>
      </c>
      <c r="M14" s="4">
        <v>0</v>
      </c>
      <c r="N14" s="4">
        <v>1</v>
      </c>
      <c r="O14" s="4">
        <v>1</v>
      </c>
      <c r="P14" s="4">
        <v>1</v>
      </c>
      <c r="Q14" s="4">
        <v>1</v>
      </c>
      <c r="R14" s="4">
        <v>0</v>
      </c>
      <c r="S14" s="4">
        <v>0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  <c r="AB14" s="7"/>
    </row>
    <row r="15" spans="2:28">
      <c r="B15" s="16"/>
      <c r="C15" s="3" t="s">
        <v>19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7"/>
    </row>
    <row r="17" spans="2:28">
      <c r="B17" s="11" t="s">
        <v>20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2:28">
      <c r="B18" s="11" t="s">
        <v>21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2:28">
      <c r="B19" s="11" t="s">
        <v>22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2:28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spans="2:28">
      <c r="B21" s="11" t="s">
        <v>23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2:28">
      <c r="B22" s="11" t="s">
        <v>24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2:28">
      <c r="B23" s="11" t="s">
        <v>25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2:28">
      <c r="B24" s="11" t="s">
        <v>26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2:28">
      <c r="B25" s="11" t="s">
        <v>27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</sheetData>
  <mergeCells count="15">
    <mergeCell ref="B2:AB2"/>
    <mergeCell ref="B17:AB17"/>
    <mergeCell ref="B18:AB18"/>
    <mergeCell ref="B19:AB19"/>
    <mergeCell ref="B20:AB20"/>
    <mergeCell ref="B5:B7"/>
    <mergeCell ref="B4:C4"/>
    <mergeCell ref="B8:B11"/>
    <mergeCell ref="B13:B15"/>
    <mergeCell ref="B12:C12"/>
    <mergeCell ref="B21:AB21"/>
    <mergeCell ref="B22:AB22"/>
    <mergeCell ref="B23:AB23"/>
    <mergeCell ref="B25:AB25"/>
    <mergeCell ref="B24:AB2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B41"/>
  <sheetViews>
    <sheetView tabSelected="1" workbookViewId="0">
      <selection activeCell="AC33" sqref="AC33"/>
    </sheetView>
  </sheetViews>
  <sheetFormatPr defaultRowHeight="15"/>
  <cols>
    <col min="2" max="2" width="21.5703125" bestFit="1" customWidth="1"/>
    <col min="3" max="3" width="29.140625" bestFit="1" customWidth="1"/>
    <col min="4" max="5" width="2" bestFit="1" customWidth="1"/>
    <col min="6" max="7" width="4" bestFit="1" customWidth="1"/>
    <col min="8" max="9" width="4.7109375" bestFit="1" customWidth="1"/>
    <col min="10" max="19" width="4" bestFit="1" customWidth="1"/>
    <col min="20" max="21" width="4.7109375" bestFit="1" customWidth="1"/>
    <col min="22" max="28" width="4" bestFit="1" customWidth="1"/>
  </cols>
  <sheetData>
    <row r="2" spans="2:28">
      <c r="B2" s="12" t="s">
        <v>28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4" spans="2:28">
      <c r="B4" s="14" t="s">
        <v>1</v>
      </c>
      <c r="C4" s="14"/>
      <c r="D4" s="7">
        <v>0</v>
      </c>
      <c r="E4" s="7">
        <v>1</v>
      </c>
      <c r="F4" s="7">
        <v>2</v>
      </c>
      <c r="G4" s="7">
        <v>3</v>
      </c>
      <c r="H4" s="7">
        <v>4</v>
      </c>
      <c r="I4" s="7">
        <v>5</v>
      </c>
      <c r="J4" s="7">
        <v>6</v>
      </c>
      <c r="K4" s="7">
        <v>7</v>
      </c>
      <c r="L4" s="7">
        <v>8</v>
      </c>
      <c r="M4" s="7">
        <v>9</v>
      </c>
      <c r="N4" s="7">
        <v>10</v>
      </c>
      <c r="O4" s="7">
        <v>11</v>
      </c>
      <c r="P4" s="7">
        <v>12</v>
      </c>
      <c r="Q4" s="7">
        <v>13</v>
      </c>
      <c r="R4" s="7">
        <v>14</v>
      </c>
      <c r="S4" s="7">
        <v>15</v>
      </c>
      <c r="T4" s="7">
        <v>16</v>
      </c>
      <c r="U4" s="7">
        <v>17</v>
      </c>
      <c r="V4" s="7">
        <v>18</v>
      </c>
      <c r="W4" s="7">
        <v>19</v>
      </c>
      <c r="X4" s="7">
        <v>20</v>
      </c>
      <c r="Y4" s="7">
        <v>21</v>
      </c>
      <c r="Z4" s="7">
        <v>22</v>
      </c>
      <c r="AA4" s="7">
        <v>23</v>
      </c>
      <c r="AB4" s="7">
        <v>24</v>
      </c>
    </row>
    <row r="5" spans="2:28">
      <c r="B5" s="13" t="s">
        <v>2</v>
      </c>
      <c r="C5" s="1" t="s">
        <v>3</v>
      </c>
      <c r="D5" s="8">
        <v>0</v>
      </c>
      <c r="E5" s="8">
        <v>0</v>
      </c>
      <c r="F5" s="8">
        <v>0.2</v>
      </c>
      <c r="G5" s="8">
        <v>0.2</v>
      </c>
      <c r="H5" s="8">
        <v>0.4</v>
      </c>
      <c r="I5" s="8">
        <v>0.6</v>
      </c>
      <c r="J5" s="8">
        <v>0.8</v>
      </c>
      <c r="K5" s="8">
        <v>0.8</v>
      </c>
      <c r="L5" s="8">
        <v>0.6</v>
      </c>
      <c r="M5" s="8">
        <v>0.4</v>
      </c>
      <c r="N5" s="8">
        <v>0.2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0.2</v>
      </c>
      <c r="Z5" s="8">
        <v>0.8</v>
      </c>
      <c r="AA5" s="8">
        <v>0.2</v>
      </c>
      <c r="AB5" s="7"/>
    </row>
    <row r="6" spans="2:28">
      <c r="B6" s="13"/>
      <c r="C6" s="1" t="s">
        <v>4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0.4</v>
      </c>
      <c r="Q6" s="8">
        <v>0.8</v>
      </c>
      <c r="R6" s="8">
        <v>1.2</v>
      </c>
      <c r="S6" s="8">
        <v>1.6</v>
      </c>
      <c r="T6" s="8">
        <v>1.2</v>
      </c>
      <c r="U6" s="8">
        <v>0.8</v>
      </c>
      <c r="V6" s="8">
        <v>0.4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7" t="s">
        <v>5</v>
      </c>
    </row>
    <row r="7" spans="2:28">
      <c r="B7" s="13"/>
      <c r="C7" s="5" t="s">
        <v>6</v>
      </c>
      <c r="D7" s="6">
        <f>D5+D6</f>
        <v>0</v>
      </c>
      <c r="E7" s="6">
        <f t="shared" ref="E7:AB7" si="0">E5+E6</f>
        <v>0</v>
      </c>
      <c r="F7" s="6">
        <f t="shared" si="0"/>
        <v>0.2</v>
      </c>
      <c r="G7" s="6">
        <f t="shared" si="0"/>
        <v>0.2</v>
      </c>
      <c r="H7" s="6">
        <f t="shared" si="0"/>
        <v>0.4</v>
      </c>
      <c r="I7" s="6">
        <f t="shared" si="0"/>
        <v>0.6</v>
      </c>
      <c r="J7" s="6">
        <f t="shared" si="0"/>
        <v>0.8</v>
      </c>
      <c r="K7" s="6">
        <f t="shared" si="0"/>
        <v>0.8</v>
      </c>
      <c r="L7" s="6">
        <f t="shared" si="0"/>
        <v>0.6</v>
      </c>
      <c r="M7" s="6">
        <f t="shared" si="0"/>
        <v>0.4</v>
      </c>
      <c r="N7" s="6">
        <f t="shared" si="0"/>
        <v>0.2</v>
      </c>
      <c r="O7" s="6">
        <f t="shared" si="0"/>
        <v>0</v>
      </c>
      <c r="P7" s="6">
        <f t="shared" si="0"/>
        <v>0.4</v>
      </c>
      <c r="Q7" s="6">
        <f t="shared" si="0"/>
        <v>0.8</v>
      </c>
      <c r="R7" s="6">
        <f t="shared" si="0"/>
        <v>1.2</v>
      </c>
      <c r="S7" s="6">
        <f t="shared" si="0"/>
        <v>1.6</v>
      </c>
      <c r="T7" s="6">
        <f t="shared" si="0"/>
        <v>1.2</v>
      </c>
      <c r="U7" s="6">
        <f t="shared" si="0"/>
        <v>0.8</v>
      </c>
      <c r="V7" s="6">
        <f t="shared" si="0"/>
        <v>0.4</v>
      </c>
      <c r="W7" s="6">
        <f t="shared" si="0"/>
        <v>0</v>
      </c>
      <c r="X7" s="6">
        <f t="shared" si="0"/>
        <v>0</v>
      </c>
      <c r="Y7" s="6">
        <f t="shared" si="0"/>
        <v>0.2</v>
      </c>
      <c r="Z7" s="6">
        <f t="shared" si="0"/>
        <v>0.8</v>
      </c>
      <c r="AA7" s="6">
        <f t="shared" si="0"/>
        <v>0.2</v>
      </c>
      <c r="AB7" s="7"/>
    </row>
    <row r="8" spans="2:28">
      <c r="B8" s="15" t="s">
        <v>7</v>
      </c>
      <c r="C8" s="2" t="s">
        <v>8</v>
      </c>
      <c r="D8" s="9">
        <v>0</v>
      </c>
      <c r="E8" s="9">
        <v>0</v>
      </c>
      <c r="F8" s="9">
        <v>0.8</v>
      </c>
      <c r="G8" s="9">
        <v>0.8</v>
      </c>
      <c r="H8" s="9">
        <v>0</v>
      </c>
      <c r="I8" s="9">
        <v>0</v>
      </c>
      <c r="J8" s="9">
        <v>0.8</v>
      </c>
      <c r="K8" s="9">
        <v>0.8</v>
      </c>
      <c r="L8" s="9">
        <v>0.8</v>
      </c>
      <c r="M8" s="9">
        <v>0.8</v>
      </c>
      <c r="N8" s="9">
        <v>0.8</v>
      </c>
      <c r="O8" s="9">
        <v>0.8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0.8</v>
      </c>
      <c r="Y8" s="9">
        <v>0</v>
      </c>
      <c r="Z8" s="9">
        <v>0</v>
      </c>
      <c r="AA8" s="9">
        <v>0</v>
      </c>
      <c r="AB8" s="7" t="s">
        <v>9</v>
      </c>
    </row>
    <row r="9" spans="2:28">
      <c r="B9" s="15"/>
      <c r="C9" s="2" t="s">
        <v>10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1.8</v>
      </c>
      <c r="K9" s="9">
        <v>1.8</v>
      </c>
      <c r="L9" s="9">
        <v>1.8</v>
      </c>
      <c r="M9" s="9">
        <v>1.8</v>
      </c>
      <c r="N9" s="9">
        <v>0</v>
      </c>
      <c r="O9" s="9">
        <v>0</v>
      </c>
      <c r="P9" s="9">
        <v>0</v>
      </c>
      <c r="Q9" s="9">
        <v>0</v>
      </c>
      <c r="R9" s="9">
        <v>1.8</v>
      </c>
      <c r="S9" s="9">
        <v>1.8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1.8</v>
      </c>
      <c r="AA9" s="9">
        <v>1.8</v>
      </c>
      <c r="AB9" s="7"/>
    </row>
    <row r="10" spans="2:28">
      <c r="B10" s="15"/>
      <c r="C10" s="2" t="s">
        <v>11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1.4</v>
      </c>
      <c r="M10" s="9">
        <v>1.4</v>
      </c>
      <c r="N10" s="9">
        <v>1.4</v>
      </c>
      <c r="O10" s="9">
        <v>1.4</v>
      </c>
      <c r="P10" s="9">
        <v>1.4</v>
      </c>
      <c r="Q10" s="9">
        <v>1.4</v>
      </c>
      <c r="R10" s="9">
        <v>1.4</v>
      </c>
      <c r="S10" s="9">
        <v>1.4</v>
      </c>
      <c r="T10" s="9">
        <v>0</v>
      </c>
      <c r="U10" s="9">
        <v>0</v>
      </c>
      <c r="V10" s="9">
        <v>1.4</v>
      </c>
      <c r="W10" s="9">
        <v>1.4</v>
      </c>
      <c r="X10" s="9">
        <v>1.4</v>
      </c>
      <c r="Y10" s="9">
        <v>1.4</v>
      </c>
      <c r="Z10" s="9">
        <v>0</v>
      </c>
      <c r="AA10" s="9">
        <v>0</v>
      </c>
      <c r="AB10" s="7" t="s">
        <v>12</v>
      </c>
    </row>
    <row r="11" spans="2:28">
      <c r="B11" s="15"/>
      <c r="C11" s="5" t="s">
        <v>13</v>
      </c>
      <c r="D11" s="6">
        <f>D8+D9+D10</f>
        <v>0</v>
      </c>
      <c r="E11" s="6">
        <f t="shared" ref="E11:AB11" si="1">E8+E9+E10</f>
        <v>0</v>
      </c>
      <c r="F11" s="6">
        <f t="shared" si="1"/>
        <v>0.8</v>
      </c>
      <c r="G11" s="6">
        <f t="shared" si="1"/>
        <v>0.8</v>
      </c>
      <c r="H11" s="6">
        <f t="shared" si="1"/>
        <v>0</v>
      </c>
      <c r="I11" s="6">
        <f t="shared" si="1"/>
        <v>0</v>
      </c>
      <c r="J11" s="6">
        <f t="shared" si="1"/>
        <v>2.6</v>
      </c>
      <c r="K11" s="6">
        <f t="shared" si="1"/>
        <v>2.6</v>
      </c>
      <c r="L11" s="6">
        <f t="shared" si="1"/>
        <v>4</v>
      </c>
      <c r="M11" s="6">
        <f t="shared" si="1"/>
        <v>4</v>
      </c>
      <c r="N11" s="6">
        <f t="shared" si="1"/>
        <v>2.2000000000000002</v>
      </c>
      <c r="O11" s="6">
        <f t="shared" si="1"/>
        <v>2.2000000000000002</v>
      </c>
      <c r="P11" s="6">
        <f t="shared" si="1"/>
        <v>1.4</v>
      </c>
      <c r="Q11" s="6">
        <f t="shared" si="1"/>
        <v>1.4</v>
      </c>
      <c r="R11" s="6">
        <f t="shared" si="1"/>
        <v>3.2</v>
      </c>
      <c r="S11" s="6">
        <f t="shared" si="1"/>
        <v>3.2</v>
      </c>
      <c r="T11" s="6">
        <f t="shared" si="1"/>
        <v>0</v>
      </c>
      <c r="U11" s="6">
        <f t="shared" si="1"/>
        <v>0</v>
      </c>
      <c r="V11" s="6">
        <f t="shared" si="1"/>
        <v>1.4</v>
      </c>
      <c r="W11" s="6">
        <f t="shared" si="1"/>
        <v>1.4</v>
      </c>
      <c r="X11" s="6">
        <f t="shared" si="1"/>
        <v>2.2000000000000002</v>
      </c>
      <c r="Y11" s="6">
        <f t="shared" si="1"/>
        <v>1.4</v>
      </c>
      <c r="Z11" s="6">
        <f t="shared" si="1"/>
        <v>1.8</v>
      </c>
      <c r="AA11" s="6">
        <f t="shared" si="1"/>
        <v>1.8</v>
      </c>
      <c r="AB11" s="7"/>
    </row>
    <row r="12" spans="2:28">
      <c r="B12" s="17" t="s">
        <v>14</v>
      </c>
      <c r="C12" s="17"/>
      <c r="D12" s="6">
        <f>D11-D7</f>
        <v>0</v>
      </c>
      <c r="E12" s="6">
        <f t="shared" ref="E12:AB12" si="2">E11-E7</f>
        <v>0</v>
      </c>
      <c r="F12" s="6">
        <f t="shared" si="2"/>
        <v>0.60000000000000009</v>
      </c>
      <c r="G12" s="6">
        <f t="shared" si="2"/>
        <v>0.60000000000000009</v>
      </c>
      <c r="H12" s="6">
        <f t="shared" si="2"/>
        <v>-0.4</v>
      </c>
      <c r="I12" s="6">
        <f t="shared" si="2"/>
        <v>-0.6</v>
      </c>
      <c r="J12" s="6">
        <f t="shared" si="2"/>
        <v>1.8</v>
      </c>
      <c r="K12" s="6">
        <f t="shared" si="2"/>
        <v>1.8</v>
      </c>
      <c r="L12" s="6">
        <f t="shared" si="2"/>
        <v>3.4</v>
      </c>
      <c r="M12" s="6">
        <f t="shared" si="2"/>
        <v>3.6</v>
      </c>
      <c r="N12" s="6">
        <f t="shared" si="2"/>
        <v>2</v>
      </c>
      <c r="O12" s="6">
        <f t="shared" si="2"/>
        <v>2.2000000000000002</v>
      </c>
      <c r="P12" s="6">
        <f t="shared" si="2"/>
        <v>0.99999999999999989</v>
      </c>
      <c r="Q12" s="6">
        <f t="shared" si="2"/>
        <v>0.59999999999999987</v>
      </c>
      <c r="R12" s="6">
        <f t="shared" si="2"/>
        <v>2</v>
      </c>
      <c r="S12" s="6">
        <f t="shared" si="2"/>
        <v>1.6</v>
      </c>
      <c r="T12" s="6">
        <f t="shared" si="2"/>
        <v>-1.2</v>
      </c>
      <c r="U12" s="6">
        <f t="shared" si="2"/>
        <v>-0.8</v>
      </c>
      <c r="V12" s="6">
        <f t="shared" si="2"/>
        <v>0.99999999999999989</v>
      </c>
      <c r="W12" s="6">
        <f t="shared" si="2"/>
        <v>1.4</v>
      </c>
      <c r="X12" s="6">
        <f t="shared" si="2"/>
        <v>2.2000000000000002</v>
      </c>
      <c r="Y12" s="6">
        <f t="shared" si="2"/>
        <v>1.2</v>
      </c>
      <c r="Z12" s="6">
        <f t="shared" si="2"/>
        <v>1</v>
      </c>
      <c r="AA12" s="6">
        <f t="shared" si="2"/>
        <v>1.6</v>
      </c>
      <c r="AB12" s="7" t="s">
        <v>15</v>
      </c>
    </row>
    <row r="13" spans="2:28">
      <c r="B13" s="16" t="s">
        <v>16</v>
      </c>
      <c r="C13" s="3" t="s">
        <v>17</v>
      </c>
      <c r="D13" s="4">
        <v>4</v>
      </c>
      <c r="E13" s="4">
        <v>4</v>
      </c>
      <c r="F13" s="4">
        <v>4</v>
      </c>
      <c r="G13" s="4">
        <v>4</v>
      </c>
      <c r="H13" s="4">
        <v>4</v>
      </c>
      <c r="I13" s="4">
        <v>4</v>
      </c>
      <c r="J13" s="4">
        <v>4</v>
      </c>
      <c r="K13" s="4">
        <v>4</v>
      </c>
      <c r="L13" s="4">
        <v>4</v>
      </c>
      <c r="M13" s="4">
        <v>4</v>
      </c>
      <c r="N13" s="4">
        <v>4</v>
      </c>
      <c r="O13" s="4">
        <v>4</v>
      </c>
      <c r="P13" s="4">
        <v>4</v>
      </c>
      <c r="Q13" s="4">
        <v>4</v>
      </c>
      <c r="R13" s="4">
        <v>4</v>
      </c>
      <c r="S13" s="4">
        <v>4</v>
      </c>
      <c r="T13" s="4">
        <v>4</v>
      </c>
      <c r="U13" s="4">
        <v>4</v>
      </c>
      <c r="V13" s="4">
        <v>4</v>
      </c>
      <c r="W13" s="4">
        <v>4</v>
      </c>
      <c r="X13" s="4">
        <v>4</v>
      </c>
      <c r="Y13" s="4">
        <v>4</v>
      </c>
      <c r="Z13" s="4">
        <v>4</v>
      </c>
      <c r="AA13" s="4">
        <v>4</v>
      </c>
      <c r="AB13" s="7"/>
    </row>
    <row r="14" spans="2:28">
      <c r="B14" s="16"/>
      <c r="C14" s="3" t="s">
        <v>18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0</v>
      </c>
      <c r="M14" s="4">
        <v>0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  <c r="AB14" s="7"/>
    </row>
    <row r="15" spans="2:28">
      <c r="B15" s="16"/>
      <c r="C15" s="3" t="s">
        <v>19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7"/>
    </row>
    <row r="17" spans="2:28">
      <c r="B17" s="11" t="s">
        <v>20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2:28">
      <c r="B18" s="11" t="s">
        <v>21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2:28">
      <c r="B19" s="11" t="s">
        <v>22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2:28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spans="2:28">
      <c r="B21" s="11" t="s">
        <v>23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2:28">
      <c r="B22" s="11" t="s">
        <v>29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2:28">
      <c r="B23" s="11" t="s">
        <v>30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2:28">
      <c r="B24" s="11" t="s">
        <v>31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2:28">
      <c r="B25" s="11" t="s">
        <v>32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2:28">
      <c r="B26" s="11" t="s">
        <v>33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2:28">
      <c r="B27" s="11" t="s">
        <v>34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2:28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2:28">
      <c r="B29" s="12" t="s">
        <v>35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spans="2:28">
      <c r="B30" s="14" t="s">
        <v>1</v>
      </c>
      <c r="C30" s="14"/>
      <c r="D30" s="7">
        <v>0</v>
      </c>
      <c r="E30" s="7">
        <v>1</v>
      </c>
      <c r="F30" s="7">
        <v>2</v>
      </c>
      <c r="G30" s="7">
        <v>3</v>
      </c>
      <c r="H30" s="7">
        <v>4</v>
      </c>
      <c r="I30" s="7">
        <v>5</v>
      </c>
      <c r="J30" s="7">
        <v>6</v>
      </c>
      <c r="K30" s="7">
        <v>7</v>
      </c>
      <c r="L30" s="7">
        <v>8</v>
      </c>
      <c r="M30" s="7">
        <v>9</v>
      </c>
      <c r="N30" s="7">
        <v>10</v>
      </c>
      <c r="O30" s="7">
        <v>11</v>
      </c>
      <c r="P30" s="7">
        <v>12</v>
      </c>
      <c r="Q30" s="7">
        <v>13</v>
      </c>
      <c r="R30" s="7">
        <v>14</v>
      </c>
      <c r="S30" s="7">
        <v>15</v>
      </c>
      <c r="T30" s="7">
        <v>16</v>
      </c>
      <c r="U30" s="7">
        <v>17</v>
      </c>
      <c r="V30" s="7">
        <v>18</v>
      </c>
      <c r="W30" s="7">
        <v>19</v>
      </c>
      <c r="X30" s="7">
        <v>20</v>
      </c>
      <c r="Y30" s="7">
        <v>21</v>
      </c>
      <c r="Z30" s="7">
        <v>22</v>
      </c>
      <c r="AA30" s="7">
        <v>23</v>
      </c>
      <c r="AB30" s="7">
        <v>24</v>
      </c>
    </row>
    <row r="31" spans="2:28">
      <c r="B31" s="13" t="s">
        <v>2</v>
      </c>
      <c r="C31" s="1" t="s">
        <v>3</v>
      </c>
      <c r="D31" s="8">
        <v>0</v>
      </c>
      <c r="E31" s="8">
        <v>0</v>
      </c>
      <c r="F31" s="8">
        <v>0.2</v>
      </c>
      <c r="G31" s="8">
        <v>0.2</v>
      </c>
      <c r="H31" s="8">
        <v>0.4</v>
      </c>
      <c r="I31" s="8">
        <v>0.6</v>
      </c>
      <c r="J31" s="8">
        <v>0.8</v>
      </c>
      <c r="K31" s="8">
        <v>0.8</v>
      </c>
      <c r="L31" s="8">
        <v>0.6</v>
      </c>
      <c r="M31" s="8">
        <v>0.4</v>
      </c>
      <c r="N31" s="8">
        <v>0.2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0.2</v>
      </c>
      <c r="Z31" s="8">
        <v>0.8</v>
      </c>
      <c r="AA31" s="8">
        <v>0.2</v>
      </c>
      <c r="AB31" s="7"/>
    </row>
    <row r="32" spans="2:28">
      <c r="B32" s="13"/>
      <c r="C32" s="1" t="s">
        <v>4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0.4</v>
      </c>
      <c r="Q32" s="8">
        <v>0.8</v>
      </c>
      <c r="R32" s="8">
        <v>1.2</v>
      </c>
      <c r="S32" s="8">
        <v>1.6</v>
      </c>
      <c r="T32" s="8">
        <v>1.2</v>
      </c>
      <c r="U32" s="8">
        <v>0.8</v>
      </c>
      <c r="V32" s="8">
        <v>0.4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7" t="s">
        <v>5</v>
      </c>
    </row>
    <row r="33" spans="2:28">
      <c r="B33" s="13"/>
      <c r="C33" s="5" t="s">
        <v>6</v>
      </c>
      <c r="D33" s="6">
        <f>D31+D32</f>
        <v>0</v>
      </c>
      <c r="E33" s="6">
        <f t="shared" ref="E33" si="3">E31+E32</f>
        <v>0</v>
      </c>
      <c r="F33" s="6">
        <f t="shared" ref="F33" si="4">F31+F32</f>
        <v>0.2</v>
      </c>
      <c r="G33" s="6">
        <f t="shared" ref="G33" si="5">G31+G32</f>
        <v>0.2</v>
      </c>
      <c r="H33" s="6">
        <f t="shared" ref="H33" si="6">H31+H32</f>
        <v>0.4</v>
      </c>
      <c r="I33" s="6">
        <f t="shared" ref="I33" si="7">I31+I32</f>
        <v>0.6</v>
      </c>
      <c r="J33" s="6">
        <f t="shared" ref="J33" si="8">J31+J32</f>
        <v>0.8</v>
      </c>
      <c r="K33" s="6">
        <f t="shared" ref="K33" si="9">K31+K32</f>
        <v>0.8</v>
      </c>
      <c r="L33" s="6">
        <f t="shared" ref="L33" si="10">L31+L32</f>
        <v>0.6</v>
      </c>
      <c r="M33" s="6">
        <f t="shared" ref="M33" si="11">M31+M32</f>
        <v>0.4</v>
      </c>
      <c r="N33" s="6">
        <f t="shared" ref="N33" si="12">N31+N32</f>
        <v>0.2</v>
      </c>
      <c r="O33" s="6">
        <f t="shared" ref="O33" si="13">O31+O32</f>
        <v>0</v>
      </c>
      <c r="P33" s="6">
        <f t="shared" ref="P33" si="14">P31+P32</f>
        <v>0.4</v>
      </c>
      <c r="Q33" s="6">
        <f t="shared" ref="Q33" si="15">Q31+Q32</f>
        <v>0.8</v>
      </c>
      <c r="R33" s="6">
        <f t="shared" ref="R33" si="16">R31+R32</f>
        <v>1.2</v>
      </c>
      <c r="S33" s="6">
        <f t="shared" ref="S33" si="17">S31+S32</f>
        <v>1.6</v>
      </c>
      <c r="T33" s="6">
        <f t="shared" ref="T33" si="18">T31+T32</f>
        <v>1.2</v>
      </c>
      <c r="U33" s="6">
        <f t="shared" ref="U33" si="19">U31+U32</f>
        <v>0.8</v>
      </c>
      <c r="V33" s="6">
        <f t="shared" ref="V33" si="20">V31+V32</f>
        <v>0.4</v>
      </c>
      <c r="W33" s="6">
        <f t="shared" ref="W33" si="21">W31+W32</f>
        <v>0</v>
      </c>
      <c r="X33" s="6">
        <f t="shared" ref="X33" si="22">X31+X32</f>
        <v>0</v>
      </c>
      <c r="Y33" s="6">
        <f t="shared" ref="Y33" si="23">Y31+Y32</f>
        <v>0.2</v>
      </c>
      <c r="Z33" s="6">
        <f t="shared" ref="Z33" si="24">Z31+Z32</f>
        <v>0.8</v>
      </c>
      <c r="AA33" s="6">
        <f t="shared" ref="AA33" si="25">AA31+AA32</f>
        <v>0.2</v>
      </c>
      <c r="AB33" s="7"/>
    </row>
    <row r="34" spans="2:28">
      <c r="B34" s="15" t="s">
        <v>7</v>
      </c>
      <c r="C34" s="2" t="s">
        <v>8</v>
      </c>
      <c r="D34" s="9">
        <v>0</v>
      </c>
      <c r="E34" s="9">
        <v>0</v>
      </c>
      <c r="F34" s="9">
        <v>0.8</v>
      </c>
      <c r="G34" s="9">
        <v>0.8</v>
      </c>
      <c r="H34" s="9">
        <v>0</v>
      </c>
      <c r="I34" s="9">
        <v>0</v>
      </c>
      <c r="J34" s="9">
        <v>0.8</v>
      </c>
      <c r="K34" s="9">
        <v>0.8</v>
      </c>
      <c r="L34" s="9">
        <v>0.8</v>
      </c>
      <c r="M34" s="9">
        <v>0.8</v>
      </c>
      <c r="N34" s="9">
        <v>0.8</v>
      </c>
      <c r="O34" s="9">
        <v>0.8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0.8</v>
      </c>
      <c r="Y34" s="9">
        <v>0</v>
      </c>
      <c r="Z34" s="9">
        <v>0</v>
      </c>
      <c r="AA34" s="9">
        <v>0</v>
      </c>
      <c r="AB34" s="7" t="s">
        <v>9</v>
      </c>
    </row>
    <row r="35" spans="2:28">
      <c r="B35" s="15"/>
      <c r="C35" s="2" t="s">
        <v>10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1.8</v>
      </c>
      <c r="K35" s="9">
        <v>1.8</v>
      </c>
      <c r="L35" s="9">
        <v>1.8</v>
      </c>
      <c r="M35" s="9">
        <v>1.8</v>
      </c>
      <c r="N35" s="9">
        <v>0</v>
      </c>
      <c r="O35" s="9">
        <v>0</v>
      </c>
      <c r="P35" s="9">
        <v>0</v>
      </c>
      <c r="Q35" s="9">
        <v>0</v>
      </c>
      <c r="R35" s="9">
        <v>1.8</v>
      </c>
      <c r="S35" s="9">
        <v>1.8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1.8</v>
      </c>
      <c r="AA35" s="9">
        <v>1.8</v>
      </c>
      <c r="AB35" s="7"/>
    </row>
    <row r="36" spans="2:28">
      <c r="B36" s="15"/>
      <c r="C36" s="2" t="s">
        <v>11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1.4</v>
      </c>
      <c r="M36" s="9">
        <v>1.4</v>
      </c>
      <c r="N36" s="9">
        <v>1.4</v>
      </c>
      <c r="O36" s="9">
        <v>1.4</v>
      </c>
      <c r="P36" s="9">
        <v>1.4</v>
      </c>
      <c r="Q36" s="9">
        <v>1.4</v>
      </c>
      <c r="R36" s="9">
        <v>1.4</v>
      </c>
      <c r="S36" s="9">
        <v>1.4</v>
      </c>
      <c r="T36" s="9">
        <v>0</v>
      </c>
      <c r="U36" s="9">
        <v>0</v>
      </c>
      <c r="V36" s="9">
        <v>1.4</v>
      </c>
      <c r="W36" s="9">
        <v>1.4</v>
      </c>
      <c r="X36" s="9">
        <v>1.4</v>
      </c>
      <c r="Y36" s="9">
        <v>1.4</v>
      </c>
      <c r="Z36" s="9">
        <v>0</v>
      </c>
      <c r="AA36" s="9">
        <v>0</v>
      </c>
      <c r="AB36" s="7" t="s">
        <v>12</v>
      </c>
    </row>
    <row r="37" spans="2:28">
      <c r="B37" s="15"/>
      <c r="C37" s="5" t="s">
        <v>13</v>
      </c>
      <c r="D37" s="6">
        <f>D34+D35+D36</f>
        <v>0</v>
      </c>
      <c r="E37" s="6">
        <f t="shared" ref="E37" si="26">E34+E35+E36</f>
        <v>0</v>
      </c>
      <c r="F37" s="6">
        <f t="shared" ref="F37" si="27">F34+F35+F36</f>
        <v>0.8</v>
      </c>
      <c r="G37" s="6">
        <f t="shared" ref="G37" si="28">G34+G35+G36</f>
        <v>0.8</v>
      </c>
      <c r="H37" s="6">
        <f t="shared" ref="H37" si="29">H34+H35+H36</f>
        <v>0</v>
      </c>
      <c r="I37" s="6">
        <f t="shared" ref="I37" si="30">I34+I35+I36</f>
        <v>0</v>
      </c>
      <c r="J37" s="6">
        <f t="shared" ref="J37" si="31">J34+J35+J36</f>
        <v>2.6</v>
      </c>
      <c r="K37" s="6">
        <f t="shared" ref="K37" si="32">K34+K35+K36</f>
        <v>2.6</v>
      </c>
      <c r="L37" s="6">
        <f t="shared" ref="L37" si="33">L34+L35+L36</f>
        <v>4</v>
      </c>
      <c r="M37" s="6">
        <f t="shared" ref="M37" si="34">M34+M35+M36</f>
        <v>4</v>
      </c>
      <c r="N37" s="6">
        <f t="shared" ref="N37" si="35">N34+N35+N36</f>
        <v>2.2000000000000002</v>
      </c>
      <c r="O37" s="6">
        <f t="shared" ref="O37" si="36">O34+O35+O36</f>
        <v>2.2000000000000002</v>
      </c>
      <c r="P37" s="6">
        <f t="shared" ref="P37" si="37">P34+P35+P36</f>
        <v>1.4</v>
      </c>
      <c r="Q37" s="6">
        <f t="shared" ref="Q37" si="38">Q34+Q35+Q36</f>
        <v>1.4</v>
      </c>
      <c r="R37" s="6">
        <f t="shared" ref="R37" si="39">R34+R35+R36</f>
        <v>3.2</v>
      </c>
      <c r="S37" s="6">
        <f t="shared" ref="S37" si="40">S34+S35+S36</f>
        <v>3.2</v>
      </c>
      <c r="T37" s="6">
        <f t="shared" ref="T37" si="41">T34+T35+T36</f>
        <v>0</v>
      </c>
      <c r="U37" s="6">
        <f t="shared" ref="U37" si="42">U34+U35+U36</f>
        <v>0</v>
      </c>
      <c r="V37" s="6">
        <f t="shared" ref="V37" si="43">V34+V35+V36</f>
        <v>1.4</v>
      </c>
      <c r="W37" s="6">
        <f t="shared" ref="W37" si="44">W34+W35+W36</f>
        <v>1.4</v>
      </c>
      <c r="X37" s="6">
        <f t="shared" ref="X37" si="45">X34+X35+X36</f>
        <v>2.2000000000000002</v>
      </c>
      <c r="Y37" s="6">
        <f t="shared" ref="Y37" si="46">Y34+Y35+Y36</f>
        <v>1.4</v>
      </c>
      <c r="Z37" s="6">
        <f t="shared" ref="Z37" si="47">Z34+Z35+Z36</f>
        <v>1.8</v>
      </c>
      <c r="AA37" s="6">
        <f t="shared" ref="AA37" si="48">AA34+AA35+AA36</f>
        <v>1.8</v>
      </c>
      <c r="AB37" s="7"/>
    </row>
    <row r="38" spans="2:28">
      <c r="B38" s="17" t="s">
        <v>14</v>
      </c>
      <c r="C38" s="17"/>
      <c r="D38" s="6">
        <f>D37-D33</f>
        <v>0</v>
      </c>
      <c r="E38" s="6">
        <f t="shared" ref="E38" si="49">E37-E33</f>
        <v>0</v>
      </c>
      <c r="F38" s="6">
        <f t="shared" ref="F38" si="50">F37-F33</f>
        <v>0.60000000000000009</v>
      </c>
      <c r="G38" s="6">
        <f t="shared" ref="G38" si="51">G37-G33</f>
        <v>0.60000000000000009</v>
      </c>
      <c r="H38" s="6">
        <f t="shared" ref="H38" si="52">H37-H33</f>
        <v>-0.4</v>
      </c>
      <c r="I38" s="6">
        <f t="shared" ref="I38" si="53">I37-I33</f>
        <v>-0.6</v>
      </c>
      <c r="J38" s="6">
        <f t="shared" ref="J38" si="54">J37-J33</f>
        <v>1.8</v>
      </c>
      <c r="K38" s="6">
        <f t="shared" ref="K38" si="55">K37-K33</f>
        <v>1.8</v>
      </c>
      <c r="L38" s="6">
        <f t="shared" ref="L38" si="56">L37-L33</f>
        <v>3.4</v>
      </c>
      <c r="M38" s="6">
        <f t="shared" ref="M38" si="57">M37-M33</f>
        <v>3.6</v>
      </c>
      <c r="N38" s="6">
        <f t="shared" ref="N38" si="58">N37-N33</f>
        <v>2</v>
      </c>
      <c r="O38" s="6">
        <f t="shared" ref="O38" si="59">O37-O33</f>
        <v>2.2000000000000002</v>
      </c>
      <c r="P38" s="6">
        <f t="shared" ref="P38" si="60">P37-P33</f>
        <v>0.99999999999999989</v>
      </c>
      <c r="Q38" s="6">
        <f t="shared" ref="Q38" si="61">Q37-Q33</f>
        <v>0.59999999999999987</v>
      </c>
      <c r="R38" s="6">
        <f t="shared" ref="R38" si="62">R37-R33</f>
        <v>2</v>
      </c>
      <c r="S38" s="6">
        <f t="shared" ref="S38" si="63">S37-S33</f>
        <v>1.6</v>
      </c>
      <c r="T38" s="6">
        <f t="shared" ref="T38" si="64">T37-T33</f>
        <v>-1.2</v>
      </c>
      <c r="U38" s="6">
        <f t="shared" ref="U38" si="65">U37-U33</f>
        <v>-0.8</v>
      </c>
      <c r="V38" s="6">
        <f t="shared" ref="V38" si="66">V37-V33</f>
        <v>0.99999999999999989</v>
      </c>
      <c r="W38" s="6">
        <f t="shared" ref="W38" si="67">W37-W33</f>
        <v>1.4</v>
      </c>
      <c r="X38" s="6">
        <f t="shared" ref="X38" si="68">X37-X33</f>
        <v>2.2000000000000002</v>
      </c>
      <c r="Y38" s="6">
        <f t="shared" ref="Y38" si="69">Y37-Y33</f>
        <v>1.2</v>
      </c>
      <c r="Z38" s="6">
        <f t="shared" ref="Z38" si="70">Z37-Z33</f>
        <v>1</v>
      </c>
      <c r="AA38" s="6">
        <f t="shared" ref="AA38" si="71">AA37-AA33</f>
        <v>1.6</v>
      </c>
      <c r="AB38" s="7" t="s">
        <v>15</v>
      </c>
    </row>
    <row r="39" spans="2:28">
      <c r="B39" s="16" t="s">
        <v>16</v>
      </c>
      <c r="C39" s="3" t="s">
        <v>36</v>
      </c>
      <c r="D39" s="4">
        <v>0</v>
      </c>
      <c r="E39" s="4">
        <v>0</v>
      </c>
      <c r="F39" s="4">
        <v>0.6</v>
      </c>
      <c r="G39" s="4">
        <v>0.6</v>
      </c>
      <c r="H39" s="4">
        <v>0</v>
      </c>
      <c r="I39" s="4">
        <v>0</v>
      </c>
      <c r="J39" s="4">
        <v>1.8</v>
      </c>
      <c r="K39" s="4">
        <v>1.8</v>
      </c>
      <c r="L39" s="4">
        <v>3.4</v>
      </c>
      <c r="M39" s="4">
        <v>3.6</v>
      </c>
      <c r="N39" s="4">
        <v>2</v>
      </c>
      <c r="O39" s="4">
        <v>2.2000000000000002</v>
      </c>
      <c r="P39" s="4">
        <v>1</v>
      </c>
      <c r="Q39" s="4">
        <v>0.6</v>
      </c>
      <c r="R39" s="4">
        <v>2</v>
      </c>
      <c r="S39" s="4">
        <v>1.6</v>
      </c>
      <c r="T39" s="4">
        <v>0</v>
      </c>
      <c r="U39" s="4">
        <v>0</v>
      </c>
      <c r="V39" s="4">
        <v>0</v>
      </c>
      <c r="W39" s="4">
        <v>1.4</v>
      </c>
      <c r="X39" s="4">
        <v>2.2000000000000002</v>
      </c>
      <c r="Y39" s="4">
        <v>1.2</v>
      </c>
      <c r="Z39" s="4">
        <v>1</v>
      </c>
      <c r="AA39" s="4">
        <v>1.6</v>
      </c>
      <c r="AB39" s="7"/>
    </row>
    <row r="40" spans="2:28">
      <c r="B40" s="16"/>
      <c r="C40" s="3" t="s">
        <v>18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1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7"/>
    </row>
    <row r="41" spans="2:28">
      <c r="B41" s="16"/>
      <c r="C41" s="3" t="s">
        <v>19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1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7"/>
    </row>
  </sheetData>
  <mergeCells count="23">
    <mergeCell ref="B13:B15"/>
    <mergeCell ref="B2:AB2"/>
    <mergeCell ref="B4:C4"/>
    <mergeCell ref="B5:B7"/>
    <mergeCell ref="B8:B11"/>
    <mergeCell ref="B12:C12"/>
    <mergeCell ref="B22:AB22"/>
    <mergeCell ref="B27:AB27"/>
    <mergeCell ref="B30:C30"/>
    <mergeCell ref="B17:AB17"/>
    <mergeCell ref="B18:AB18"/>
    <mergeCell ref="B19:AB19"/>
    <mergeCell ref="B20:AB20"/>
    <mergeCell ref="B21:AB21"/>
    <mergeCell ref="B23:AB23"/>
    <mergeCell ref="B29:AB29"/>
    <mergeCell ref="B31:B33"/>
    <mergeCell ref="B34:B37"/>
    <mergeCell ref="B38:C38"/>
    <mergeCell ref="B39:B41"/>
    <mergeCell ref="B24:AB24"/>
    <mergeCell ref="B25:AB25"/>
    <mergeCell ref="B26:AB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B26"/>
  <sheetViews>
    <sheetView workbookViewId="0">
      <selection activeCell="AF10" sqref="AF10"/>
    </sheetView>
  </sheetViews>
  <sheetFormatPr defaultRowHeight="15"/>
  <cols>
    <col min="2" max="2" width="21.5703125" bestFit="1" customWidth="1"/>
    <col min="3" max="3" width="29.140625" bestFit="1" customWidth="1"/>
    <col min="4" max="11" width="4" bestFit="1" customWidth="1"/>
    <col min="12" max="12" width="4.140625" customWidth="1"/>
    <col min="13" max="13" width="4" bestFit="1" customWidth="1"/>
    <col min="14" max="15" width="4.7109375" bestFit="1" customWidth="1"/>
    <col min="16" max="20" width="4" bestFit="1" customWidth="1"/>
    <col min="21" max="21" width="4.7109375" bestFit="1" customWidth="1"/>
    <col min="22" max="28" width="4" bestFit="1" customWidth="1"/>
  </cols>
  <sheetData>
    <row r="2" spans="2:28">
      <c r="B2" s="12" t="s">
        <v>37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4" spans="2:28">
      <c r="B4" s="14" t="s">
        <v>1</v>
      </c>
      <c r="C4" s="14"/>
      <c r="D4" s="7">
        <v>0</v>
      </c>
      <c r="E4" s="7">
        <v>1</v>
      </c>
      <c r="F4" s="7">
        <v>2</v>
      </c>
      <c r="G4" s="7">
        <v>3</v>
      </c>
      <c r="H4" s="7">
        <v>4</v>
      </c>
      <c r="I4" s="7">
        <v>5</v>
      </c>
      <c r="J4" s="7">
        <v>6</v>
      </c>
      <c r="K4" s="7">
        <v>7</v>
      </c>
      <c r="L4" s="7">
        <v>8</v>
      </c>
      <c r="M4" s="7">
        <v>9</v>
      </c>
      <c r="N4" s="7">
        <v>10</v>
      </c>
      <c r="O4" s="7">
        <v>11</v>
      </c>
      <c r="P4" s="7">
        <v>12</v>
      </c>
      <c r="Q4" s="7">
        <v>13</v>
      </c>
      <c r="R4" s="7">
        <v>14</v>
      </c>
      <c r="S4" s="7">
        <v>15</v>
      </c>
      <c r="T4" s="7">
        <v>16</v>
      </c>
      <c r="U4" s="7">
        <v>17</v>
      </c>
      <c r="V4" s="7">
        <v>18</v>
      </c>
      <c r="W4" s="7">
        <v>19</v>
      </c>
      <c r="X4" s="7">
        <v>20</v>
      </c>
      <c r="Y4" s="7">
        <v>21</v>
      </c>
      <c r="Z4" s="7">
        <v>22</v>
      </c>
      <c r="AA4" s="7">
        <v>23</v>
      </c>
      <c r="AB4" s="7">
        <v>24</v>
      </c>
    </row>
    <row r="5" spans="2:28">
      <c r="B5" s="13" t="s">
        <v>2</v>
      </c>
      <c r="C5" s="1" t="s">
        <v>3</v>
      </c>
      <c r="D5" s="8">
        <v>0.2</v>
      </c>
      <c r="E5" s="8">
        <v>0.2</v>
      </c>
      <c r="F5" s="8">
        <v>0.2</v>
      </c>
      <c r="G5" s="8">
        <v>0.4</v>
      </c>
      <c r="H5" s="8">
        <v>0.4</v>
      </c>
      <c r="I5" s="8">
        <v>0.6</v>
      </c>
      <c r="J5" s="8">
        <v>0.8</v>
      </c>
      <c r="K5" s="8">
        <v>0.8</v>
      </c>
      <c r="L5" s="8">
        <v>1</v>
      </c>
      <c r="M5" s="8">
        <v>0.8</v>
      </c>
      <c r="N5" s="8">
        <v>0.8</v>
      </c>
      <c r="O5" s="8">
        <v>0.6</v>
      </c>
      <c r="P5" s="8">
        <v>0.4</v>
      </c>
      <c r="Q5" s="8">
        <v>0.2</v>
      </c>
      <c r="R5" s="8">
        <v>0.2</v>
      </c>
      <c r="S5" s="8">
        <v>0.2</v>
      </c>
      <c r="T5" s="8">
        <v>0.2</v>
      </c>
      <c r="U5" s="8">
        <v>0.2</v>
      </c>
      <c r="V5" s="8">
        <v>0</v>
      </c>
      <c r="W5" s="8">
        <v>0</v>
      </c>
      <c r="X5" s="8">
        <v>0</v>
      </c>
      <c r="Y5" s="8">
        <v>0.2</v>
      </c>
      <c r="Z5" s="8">
        <v>0.4</v>
      </c>
      <c r="AA5" s="8">
        <v>0.6</v>
      </c>
      <c r="AB5" s="7"/>
    </row>
    <row r="6" spans="2:28">
      <c r="B6" s="13"/>
      <c r="C6" s="1" t="s">
        <v>4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0.4</v>
      </c>
      <c r="K6" s="8">
        <v>0.8</v>
      </c>
      <c r="L6" s="8">
        <v>1.2</v>
      </c>
      <c r="M6" s="8">
        <v>1.6</v>
      </c>
      <c r="N6" s="8">
        <v>2</v>
      </c>
      <c r="O6" s="8">
        <v>2</v>
      </c>
      <c r="P6" s="8">
        <v>2</v>
      </c>
      <c r="Q6" s="8">
        <v>1.6</v>
      </c>
      <c r="R6" s="8">
        <v>1.2</v>
      </c>
      <c r="S6" s="8">
        <v>0.8</v>
      </c>
      <c r="T6" s="8">
        <v>0.4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7" t="s">
        <v>5</v>
      </c>
    </row>
    <row r="7" spans="2:28">
      <c r="B7" s="13"/>
      <c r="C7" s="5" t="s">
        <v>6</v>
      </c>
      <c r="D7" s="6">
        <f>D5+D6</f>
        <v>0.2</v>
      </c>
      <c r="E7" s="6">
        <f t="shared" ref="E7:AB7" si="0">E5+E6</f>
        <v>0.2</v>
      </c>
      <c r="F7" s="6">
        <f t="shared" si="0"/>
        <v>0.2</v>
      </c>
      <c r="G7" s="6">
        <f t="shared" si="0"/>
        <v>0.4</v>
      </c>
      <c r="H7" s="6">
        <f t="shared" si="0"/>
        <v>0.4</v>
      </c>
      <c r="I7" s="6">
        <f t="shared" si="0"/>
        <v>0.6</v>
      </c>
      <c r="J7" s="6">
        <f t="shared" si="0"/>
        <v>1.2000000000000002</v>
      </c>
      <c r="K7" s="6">
        <f t="shared" si="0"/>
        <v>1.6</v>
      </c>
      <c r="L7" s="6">
        <f t="shared" si="0"/>
        <v>2.2000000000000002</v>
      </c>
      <c r="M7" s="6">
        <f t="shared" si="0"/>
        <v>2.4000000000000004</v>
      </c>
      <c r="N7" s="6">
        <f t="shared" si="0"/>
        <v>2.8</v>
      </c>
      <c r="O7" s="6">
        <f t="shared" si="0"/>
        <v>2.6</v>
      </c>
      <c r="P7" s="6">
        <f t="shared" si="0"/>
        <v>2.4</v>
      </c>
      <c r="Q7" s="6">
        <f t="shared" si="0"/>
        <v>1.8</v>
      </c>
      <c r="R7" s="6">
        <f t="shared" si="0"/>
        <v>1.4</v>
      </c>
      <c r="S7" s="6">
        <f t="shared" si="0"/>
        <v>1</v>
      </c>
      <c r="T7" s="6">
        <f t="shared" si="0"/>
        <v>0.60000000000000009</v>
      </c>
      <c r="U7" s="6">
        <f t="shared" si="0"/>
        <v>0.2</v>
      </c>
      <c r="V7" s="6">
        <f t="shared" si="0"/>
        <v>0</v>
      </c>
      <c r="W7" s="6">
        <f t="shared" si="0"/>
        <v>0</v>
      </c>
      <c r="X7" s="6">
        <f t="shared" si="0"/>
        <v>0</v>
      </c>
      <c r="Y7" s="6">
        <f t="shared" si="0"/>
        <v>0.2</v>
      </c>
      <c r="Z7" s="6">
        <f t="shared" si="0"/>
        <v>0.4</v>
      </c>
      <c r="AA7" s="6">
        <f t="shared" si="0"/>
        <v>0.6</v>
      </c>
      <c r="AB7" s="7"/>
    </row>
    <row r="8" spans="2:28">
      <c r="B8" s="15" t="s">
        <v>7</v>
      </c>
      <c r="C8" s="2" t="s">
        <v>8</v>
      </c>
      <c r="D8" s="9">
        <v>0</v>
      </c>
      <c r="E8" s="9">
        <v>0</v>
      </c>
      <c r="F8" s="9">
        <v>0.8</v>
      </c>
      <c r="G8" s="9">
        <v>0.8</v>
      </c>
      <c r="H8" s="9">
        <v>0</v>
      </c>
      <c r="I8" s="9">
        <v>0</v>
      </c>
      <c r="J8" s="9">
        <v>0.8</v>
      </c>
      <c r="K8" s="9">
        <v>0.8</v>
      </c>
      <c r="L8" s="9">
        <v>0.8</v>
      </c>
      <c r="M8" s="9">
        <v>0.8</v>
      </c>
      <c r="N8" s="9">
        <v>0</v>
      </c>
      <c r="O8" s="9">
        <v>0</v>
      </c>
      <c r="P8" s="9">
        <v>0.8</v>
      </c>
      <c r="Q8" s="9">
        <v>0.8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0.8</v>
      </c>
      <c r="Y8" s="9">
        <v>0.8</v>
      </c>
      <c r="Z8" s="9">
        <v>0.8</v>
      </c>
      <c r="AA8" s="9">
        <v>0.8</v>
      </c>
      <c r="AB8" s="7" t="s">
        <v>9</v>
      </c>
    </row>
    <row r="9" spans="2:28">
      <c r="B9" s="15"/>
      <c r="C9" s="2" t="s">
        <v>10</v>
      </c>
      <c r="D9" s="9">
        <v>1.8</v>
      </c>
      <c r="E9" s="9">
        <v>1.8</v>
      </c>
      <c r="F9" s="9">
        <v>1.8</v>
      </c>
      <c r="G9" s="9">
        <v>0</v>
      </c>
      <c r="H9" s="9">
        <v>0</v>
      </c>
      <c r="I9" s="9">
        <v>0</v>
      </c>
      <c r="J9" s="9">
        <v>1.8</v>
      </c>
      <c r="K9" s="9">
        <v>1.8</v>
      </c>
      <c r="L9" s="9">
        <v>1.8</v>
      </c>
      <c r="M9" s="9">
        <v>1.8</v>
      </c>
      <c r="N9" s="9">
        <v>0</v>
      </c>
      <c r="O9" s="9">
        <v>0</v>
      </c>
      <c r="P9" s="9">
        <v>1.8</v>
      </c>
      <c r="Q9" s="9">
        <v>1.8</v>
      </c>
      <c r="R9" s="9">
        <v>1.8</v>
      </c>
      <c r="S9" s="9">
        <v>1.8</v>
      </c>
      <c r="T9" s="9">
        <v>1.8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1.8</v>
      </c>
      <c r="AA9" s="9">
        <v>1.8</v>
      </c>
      <c r="AB9" s="7"/>
    </row>
    <row r="10" spans="2:28">
      <c r="B10" s="15"/>
      <c r="C10" s="2" t="s">
        <v>11</v>
      </c>
      <c r="D10" s="9">
        <v>0</v>
      </c>
      <c r="E10" s="9">
        <v>0</v>
      </c>
      <c r="F10" s="9">
        <v>0</v>
      </c>
      <c r="G10" s="9">
        <v>1.4</v>
      </c>
      <c r="H10" s="9">
        <v>1.4</v>
      </c>
      <c r="I10" s="9">
        <v>1.4</v>
      </c>
      <c r="J10" s="9">
        <v>0</v>
      </c>
      <c r="K10" s="9">
        <v>0</v>
      </c>
      <c r="L10" s="9">
        <v>1.4</v>
      </c>
      <c r="M10" s="9">
        <v>1.4</v>
      </c>
      <c r="N10" s="9">
        <v>1.4</v>
      </c>
      <c r="O10" s="9">
        <v>1.4</v>
      </c>
      <c r="P10" s="9">
        <v>1.4</v>
      </c>
      <c r="Q10" s="9">
        <v>1.4</v>
      </c>
      <c r="R10" s="9">
        <v>0</v>
      </c>
      <c r="S10" s="9">
        <v>0</v>
      </c>
      <c r="T10" s="9">
        <v>0</v>
      </c>
      <c r="U10" s="9">
        <v>0</v>
      </c>
      <c r="V10" s="9">
        <v>1.4</v>
      </c>
      <c r="W10" s="9">
        <v>1.4</v>
      </c>
      <c r="X10" s="9">
        <v>1.4</v>
      </c>
      <c r="Y10" s="9">
        <v>1.4</v>
      </c>
      <c r="Z10" s="9">
        <v>1.4</v>
      </c>
      <c r="AA10" s="9">
        <v>1.4</v>
      </c>
      <c r="AB10" s="7" t="s">
        <v>12</v>
      </c>
    </row>
    <row r="11" spans="2:28">
      <c r="B11" s="15"/>
      <c r="C11" s="5" t="s">
        <v>13</v>
      </c>
      <c r="D11" s="6">
        <f>D8+D9+D10</f>
        <v>1.8</v>
      </c>
      <c r="E11" s="6">
        <f t="shared" ref="E11:AB11" si="1">E8+E9+E10</f>
        <v>1.8</v>
      </c>
      <c r="F11" s="6">
        <f t="shared" si="1"/>
        <v>2.6</v>
      </c>
      <c r="G11" s="6">
        <f t="shared" si="1"/>
        <v>2.2000000000000002</v>
      </c>
      <c r="H11" s="6">
        <f t="shared" si="1"/>
        <v>1.4</v>
      </c>
      <c r="I11" s="6">
        <f t="shared" si="1"/>
        <v>1.4</v>
      </c>
      <c r="J11" s="6">
        <f t="shared" si="1"/>
        <v>2.6</v>
      </c>
      <c r="K11" s="6">
        <f t="shared" si="1"/>
        <v>2.6</v>
      </c>
      <c r="L11" s="6">
        <f t="shared" si="1"/>
        <v>4</v>
      </c>
      <c r="M11" s="6">
        <f t="shared" si="1"/>
        <v>4</v>
      </c>
      <c r="N11" s="6">
        <f t="shared" si="1"/>
        <v>1.4</v>
      </c>
      <c r="O11" s="6">
        <f t="shared" si="1"/>
        <v>1.4</v>
      </c>
      <c r="P11" s="6">
        <f t="shared" si="1"/>
        <v>4</v>
      </c>
      <c r="Q11" s="6">
        <f t="shared" si="1"/>
        <v>4</v>
      </c>
      <c r="R11" s="6">
        <f t="shared" si="1"/>
        <v>1.8</v>
      </c>
      <c r="S11" s="6">
        <f t="shared" si="1"/>
        <v>1.8</v>
      </c>
      <c r="T11" s="6">
        <f t="shared" si="1"/>
        <v>1.8</v>
      </c>
      <c r="U11" s="6">
        <f t="shared" si="1"/>
        <v>0</v>
      </c>
      <c r="V11" s="6">
        <f t="shared" si="1"/>
        <v>1.4</v>
      </c>
      <c r="W11" s="6">
        <f t="shared" si="1"/>
        <v>1.4</v>
      </c>
      <c r="X11" s="6">
        <f t="shared" si="1"/>
        <v>2.2000000000000002</v>
      </c>
      <c r="Y11" s="6">
        <f t="shared" si="1"/>
        <v>2.2000000000000002</v>
      </c>
      <c r="Z11" s="6">
        <f t="shared" si="1"/>
        <v>4</v>
      </c>
      <c r="AA11" s="6">
        <f t="shared" si="1"/>
        <v>4</v>
      </c>
      <c r="AB11" s="7"/>
    </row>
    <row r="12" spans="2:28">
      <c r="B12" s="17" t="s">
        <v>14</v>
      </c>
      <c r="C12" s="17"/>
      <c r="D12" s="6">
        <f>D11-D7</f>
        <v>1.6</v>
      </c>
      <c r="E12" s="6">
        <f t="shared" ref="E12:AB12" si="2">E11-E7</f>
        <v>1.6</v>
      </c>
      <c r="F12" s="6">
        <f t="shared" si="2"/>
        <v>2.4</v>
      </c>
      <c r="G12" s="6">
        <f t="shared" si="2"/>
        <v>1.8000000000000003</v>
      </c>
      <c r="H12" s="6">
        <f t="shared" si="2"/>
        <v>0.99999999999999989</v>
      </c>
      <c r="I12" s="6">
        <f t="shared" si="2"/>
        <v>0.79999999999999993</v>
      </c>
      <c r="J12" s="6">
        <f t="shared" si="2"/>
        <v>1.4</v>
      </c>
      <c r="K12" s="6">
        <f t="shared" si="2"/>
        <v>1</v>
      </c>
      <c r="L12" s="6">
        <f t="shared" si="2"/>
        <v>1.7999999999999998</v>
      </c>
      <c r="M12" s="6">
        <f t="shared" si="2"/>
        <v>1.5999999999999996</v>
      </c>
      <c r="N12" s="6">
        <f t="shared" si="2"/>
        <v>-1.4</v>
      </c>
      <c r="O12" s="6">
        <f t="shared" si="2"/>
        <v>-1.2000000000000002</v>
      </c>
      <c r="P12" s="6">
        <f t="shared" si="2"/>
        <v>1.6</v>
      </c>
      <c r="Q12" s="6">
        <f t="shared" si="2"/>
        <v>2.2000000000000002</v>
      </c>
      <c r="R12" s="6">
        <f t="shared" si="2"/>
        <v>0.40000000000000013</v>
      </c>
      <c r="S12" s="6">
        <f t="shared" si="2"/>
        <v>0.8</v>
      </c>
      <c r="T12" s="6">
        <f t="shared" si="2"/>
        <v>1.2</v>
      </c>
      <c r="U12" s="6">
        <f t="shared" si="2"/>
        <v>-0.2</v>
      </c>
      <c r="V12" s="6">
        <f t="shared" si="2"/>
        <v>1.4</v>
      </c>
      <c r="W12" s="6">
        <f t="shared" si="2"/>
        <v>1.4</v>
      </c>
      <c r="X12" s="6">
        <f t="shared" si="2"/>
        <v>2.2000000000000002</v>
      </c>
      <c r="Y12" s="6">
        <f t="shared" si="2"/>
        <v>2</v>
      </c>
      <c r="Z12" s="6">
        <f t="shared" si="2"/>
        <v>3.6</v>
      </c>
      <c r="AA12" s="6">
        <f t="shared" si="2"/>
        <v>3.4</v>
      </c>
      <c r="AB12" s="7" t="s">
        <v>15</v>
      </c>
    </row>
    <row r="13" spans="2:28">
      <c r="B13" s="16" t="s">
        <v>16</v>
      </c>
      <c r="C13" s="3" t="s">
        <v>36</v>
      </c>
      <c r="D13" s="4">
        <v>1.6</v>
      </c>
      <c r="E13" s="4">
        <v>1.6</v>
      </c>
      <c r="F13" s="4">
        <v>2.4</v>
      </c>
      <c r="G13" s="4">
        <v>1.8</v>
      </c>
      <c r="H13" s="4">
        <v>1</v>
      </c>
      <c r="I13" s="4">
        <v>0.8</v>
      </c>
      <c r="J13" s="4">
        <v>1.4</v>
      </c>
      <c r="K13" s="4">
        <v>1</v>
      </c>
      <c r="L13" s="4">
        <v>1.8</v>
      </c>
      <c r="M13" s="4">
        <v>1.6</v>
      </c>
      <c r="N13" s="4">
        <v>0</v>
      </c>
      <c r="O13" s="4">
        <v>0</v>
      </c>
      <c r="P13" s="4">
        <v>0.6</v>
      </c>
      <c r="Q13" s="4">
        <v>1.2</v>
      </c>
      <c r="R13" s="4">
        <v>0.4</v>
      </c>
      <c r="S13" s="4">
        <v>0.8</v>
      </c>
      <c r="T13" s="4">
        <v>1.2</v>
      </c>
      <c r="U13" s="4">
        <v>0</v>
      </c>
      <c r="V13" s="4">
        <v>1.4</v>
      </c>
      <c r="W13" s="4">
        <v>1.4</v>
      </c>
      <c r="X13" s="4">
        <v>2.2000000000000002</v>
      </c>
      <c r="Y13" s="4">
        <v>2</v>
      </c>
      <c r="Z13" s="4">
        <v>3.6</v>
      </c>
      <c r="AA13" s="4">
        <v>3.4</v>
      </c>
      <c r="AB13" s="7"/>
    </row>
    <row r="14" spans="2:28">
      <c r="B14" s="16"/>
      <c r="C14" s="3" t="s">
        <v>18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1</v>
      </c>
      <c r="O14" s="4">
        <v>1</v>
      </c>
      <c r="P14" s="4">
        <v>1</v>
      </c>
      <c r="Q14" s="4">
        <v>1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7"/>
    </row>
    <row r="15" spans="2:28">
      <c r="B15" s="16"/>
      <c r="C15" s="3" t="s">
        <v>19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7"/>
    </row>
    <row r="17" spans="2:28">
      <c r="B17" s="11" t="s">
        <v>20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2:28">
      <c r="B18" s="11" t="s">
        <v>38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2:28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2:28">
      <c r="B20" s="11" t="s">
        <v>23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2:28">
      <c r="B21" s="11" t="s">
        <v>29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2:28">
      <c r="B22" s="11" t="s">
        <v>30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2:28">
      <c r="B23" s="11" t="s">
        <v>31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2:28">
      <c r="B24" s="11" t="s">
        <v>32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2:28">
      <c r="B25" s="11" t="s">
        <v>33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2:28">
      <c r="B26" s="11" t="s">
        <v>34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</sheetData>
  <mergeCells count="16">
    <mergeCell ref="B13:B15"/>
    <mergeCell ref="B2:AB2"/>
    <mergeCell ref="B4:C4"/>
    <mergeCell ref="B5:B7"/>
    <mergeCell ref="B8:B11"/>
    <mergeCell ref="B12:C12"/>
    <mergeCell ref="B17:AB17"/>
    <mergeCell ref="B18:AB18"/>
    <mergeCell ref="B19:AB19"/>
    <mergeCell ref="B20:AB20"/>
    <mergeCell ref="B21:AB21"/>
    <mergeCell ref="B22:AB22"/>
    <mergeCell ref="B23:AB23"/>
    <mergeCell ref="B24:AB24"/>
    <mergeCell ref="B25:AB25"/>
    <mergeCell ref="B26:AB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a874f9-67e5-4deb-a0f2-d102b20c5fd8">
      <Terms xmlns="http://schemas.microsoft.com/office/infopath/2007/PartnerControls"/>
    </lcf76f155ced4ddcb4097134ff3c332f>
    <TaxCatchAll xmlns="94e09ebd-c8f1-4362-991a-c49006e523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AEFD908B32B245A3A0D21C6B593B2B" ma:contentTypeVersion="11" ma:contentTypeDescription="Create a new document." ma:contentTypeScope="" ma:versionID="ae0f41c3c6ca332a3b0570cc0ca83342">
  <xsd:schema xmlns:xsd="http://www.w3.org/2001/XMLSchema" xmlns:xs="http://www.w3.org/2001/XMLSchema" xmlns:p="http://schemas.microsoft.com/office/2006/metadata/properties" xmlns:ns2="d5a874f9-67e5-4deb-a0f2-d102b20c5fd8" xmlns:ns3="94e09ebd-c8f1-4362-991a-c49006e523f9" targetNamespace="http://schemas.microsoft.com/office/2006/metadata/properties" ma:root="true" ma:fieldsID="5ccbbde39b4f835ca60ef9136f7866f9" ns2:_="" ns3:_="">
    <xsd:import namespace="d5a874f9-67e5-4deb-a0f2-d102b20c5fd8"/>
    <xsd:import namespace="94e09ebd-c8f1-4362-991a-c49006e523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a874f9-67e5-4deb-a0f2-d102b20c5f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bf2f534-9c3d-494b-83fb-768e80718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e09ebd-c8f1-4362-991a-c49006e523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c6b7519-a2a5-4c46-b362-72d7f70c44ec}" ma:internalName="TaxCatchAll" ma:showField="CatchAllData" ma:web="94e09ebd-c8f1-4362-991a-c49006e523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F3CCA7-DAE1-4B4A-B335-0DF9D3B0C920}"/>
</file>

<file path=customXml/itemProps2.xml><?xml version="1.0" encoding="utf-8"?>
<ds:datastoreItem xmlns:ds="http://schemas.openxmlformats.org/officeDocument/2006/customXml" ds:itemID="{5D156719-7126-4BB9-A038-F370654F9427}"/>
</file>

<file path=customXml/itemProps3.xml><?xml version="1.0" encoding="utf-8"?>
<ds:datastoreItem xmlns:ds="http://schemas.openxmlformats.org/officeDocument/2006/customXml" ds:itemID="{5C68C747-1F9F-44DF-8A47-20BBCD4E9F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Muhammad Yusri (mhby1g21)</cp:lastModifiedBy>
  <cp:revision/>
  <dcterms:created xsi:type="dcterms:W3CDTF">2015-01-25T03:33:44Z</dcterms:created>
  <dcterms:modified xsi:type="dcterms:W3CDTF">2023-02-28T22:12:27Z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0x010100D4AEFD908B32B245A3A0D21C6B593B2B</vt:lpwstr>
  </property>
  <property fmtid="{D5CDD505-2E9C-101B-9397-08002B2CF9AE}" pid="3" name="MediaServiceImageTags">
    <vt:lpwstr/>
  </property>
</Properties>
</file>